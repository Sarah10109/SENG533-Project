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sarah_elmahdy_ucalgary_ca/Documents/"/>
    </mc:Choice>
  </mc:AlternateContent>
  <xr:revisionPtr revIDLastSave="0" documentId="8_{C80DD607-0265-41D4-BB9A-8D81EAEEE080}" xr6:coauthVersionLast="47" xr6:coauthVersionMax="47" xr10:uidLastSave="{00000000-0000-0000-0000-000000000000}"/>
  <bookViews>
    <workbookView xWindow="28695" yWindow="-855" windowWidth="14610" windowHeight="17385" firstSheet="2" activeTab="3" xr2:uid="{8DB55DB3-6528-42FB-BF3F-D0BEA638417C}"/>
  </bookViews>
  <sheets>
    <sheet name="phase 1" sheetId="1" r:id="rId1"/>
    <sheet name="phase 2" sheetId="3" r:id="rId2"/>
    <sheet name="phase2_VUs" sheetId="5" r:id="rId3"/>
    <sheet name="phase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2" i="5"/>
  <c r="B9" i="3"/>
  <c r="O2" i="5"/>
  <c r="L2" i="1"/>
  <c r="Q3" i="5"/>
  <c r="Q4" i="5"/>
  <c r="Q5" i="5"/>
  <c r="Q6" i="5"/>
  <c r="Q2" i="5"/>
  <c r="O3" i="5"/>
  <c r="O4" i="5"/>
  <c r="O5" i="5"/>
  <c r="O6" i="5"/>
  <c r="N3" i="5"/>
  <c r="N4" i="5"/>
  <c r="N5" i="5"/>
  <c r="N6" i="5"/>
  <c r="M3" i="5"/>
  <c r="M4" i="5"/>
  <c r="M5" i="5"/>
  <c r="M6" i="5"/>
  <c r="N2" i="5"/>
  <c r="M2" i="5"/>
  <c r="L3" i="5"/>
  <c r="L4" i="5"/>
  <c r="L5" i="5"/>
  <c r="L6" i="5"/>
  <c r="L2" i="5"/>
  <c r="K3" i="5"/>
  <c r="K4" i="5"/>
  <c r="K5" i="5"/>
  <c r="K6" i="5"/>
  <c r="K2" i="5"/>
  <c r="D14" i="3"/>
  <c r="D13" i="3"/>
  <c r="D12" i="3"/>
  <c r="C14" i="3"/>
  <c r="C13" i="3"/>
  <c r="C12" i="3"/>
  <c r="I2" i="1"/>
  <c r="B14" i="3"/>
  <c r="B13" i="3"/>
  <c r="B12" i="3"/>
  <c r="E8" i="3"/>
  <c r="F8" i="3"/>
  <c r="C8" i="3"/>
  <c r="D8" i="3"/>
  <c r="B8" i="3"/>
  <c r="L3" i="1"/>
  <c r="L4" i="1"/>
  <c r="L5" i="1"/>
  <c r="I3" i="1"/>
  <c r="I4" i="1"/>
  <c r="I5" i="1"/>
  <c r="K3" i="1"/>
  <c r="K4" i="1"/>
  <c r="K5" i="1"/>
  <c r="K2" i="1"/>
  <c r="J3" i="1"/>
  <c r="J4" i="1"/>
  <c r="J5" i="1"/>
  <c r="J2" i="1"/>
  <c r="H3" i="1"/>
  <c r="H4" i="1"/>
  <c r="H5" i="1"/>
  <c r="H2" i="1"/>
</calcChain>
</file>

<file path=xl/sharedStrings.xml><?xml version="1.0" encoding="utf-8"?>
<sst xmlns="http://schemas.openxmlformats.org/spreadsheetml/2006/main" count="102" uniqueCount="54">
  <si>
    <t>Memory / Start Type</t>
  </si>
  <si>
    <t>Run 1</t>
  </si>
  <si>
    <t>Run 2</t>
  </si>
  <si>
    <t>Run 3</t>
  </si>
  <si>
    <t>Run 4</t>
  </si>
  <si>
    <t>Run 5</t>
  </si>
  <si>
    <t>Run 6</t>
  </si>
  <si>
    <t>mean</t>
  </si>
  <si>
    <t>std dev</t>
  </si>
  <si>
    <t>min</t>
  </si>
  <si>
    <t xml:space="preserve">max </t>
  </si>
  <si>
    <t>95 ci</t>
  </si>
  <si>
    <t>X</t>
  </si>
  <si>
    <t>Y</t>
  </si>
  <si>
    <t>Cold 128MB</t>
  </si>
  <si>
    <t>Night - R1</t>
  </si>
  <si>
    <t>Warm 128MB</t>
  </si>
  <si>
    <t xml:space="preserve">Cold 512MB </t>
  </si>
  <si>
    <t>Night - R2</t>
  </si>
  <si>
    <t xml:space="preserve">Warm 512MB </t>
  </si>
  <si>
    <t>Time of Day</t>
  </si>
  <si>
    <t>Night</t>
  </si>
  <si>
    <t>Noon</t>
  </si>
  <si>
    <t>Evening</t>
  </si>
  <si>
    <t>Noon - R3</t>
  </si>
  <si>
    <t>Noon - R4</t>
  </si>
  <si>
    <t>Evening - R5</t>
  </si>
  <si>
    <t>Evening - R6</t>
  </si>
  <si>
    <t>Run</t>
  </si>
  <si>
    <t xml:space="preserve">Avg </t>
  </si>
  <si>
    <t>P50</t>
  </si>
  <si>
    <t>P95</t>
  </si>
  <si>
    <t xml:space="preserve">P99 </t>
  </si>
  <si>
    <t>Std Dev</t>
  </si>
  <si>
    <t>Run 1                                        (Night)</t>
  </si>
  <si>
    <t>Run 2                                        (Night)</t>
  </si>
  <si>
    <t>Run 3                                        (Noon)</t>
  </si>
  <si>
    <t>Run 4                                        (Noon)</t>
  </si>
  <si>
    <t>Run 5                                        (Evening)</t>
  </si>
  <si>
    <t>Run 6                                        (Evening)</t>
  </si>
  <si>
    <t>Mean</t>
  </si>
  <si>
    <t>95% CI</t>
  </si>
  <si>
    <t>Avg</t>
  </si>
  <si>
    <t>VU</t>
  </si>
  <si>
    <t>P99</t>
  </si>
  <si>
    <t>Count</t>
  </si>
  <si>
    <t>95% ci</t>
  </si>
  <si>
    <t>total request</t>
  </si>
  <si>
    <t>Rate (RPS)</t>
  </si>
  <si>
    <t xml:space="preserve">Mean </t>
  </si>
  <si>
    <t>P50 (ms)</t>
  </si>
  <si>
    <t xml:space="preserve">P95 </t>
  </si>
  <si>
    <t>Requests</t>
  </si>
  <si>
    <t xml:space="preserve">Saturation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</si>
</sst>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Cold Start vs Warm Start Latency</a:t>
            </a:r>
          </a:p>
          <a:p>
            <a:pPr>
              <a:defRPr b="1"/>
            </a:pPr>
            <a:r>
              <a:rPr lang="en-US" b="1"/>
              <a:t>(mean ± 95% CI, n = 6 each)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BC-4323-9C16-0D92B67D75F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BC-4323-9C16-0D92B67D75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BC-4323-9C16-0D92B67D75F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BC-4323-9C16-0D92B67D75F2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'phase 1'!$L$2:$L$5</c:f>
                <c:numCache>
                  <c:formatCode>General</c:formatCode>
                  <c:ptCount val="4"/>
                  <c:pt idx="0">
                    <c:v>48.903432679354459</c:v>
                  </c:pt>
                  <c:pt idx="1">
                    <c:v>9.3891627110249143</c:v>
                  </c:pt>
                  <c:pt idx="2">
                    <c:v>42.52315271844499</c:v>
                  </c:pt>
                  <c:pt idx="3">
                    <c:v>17.66711107751734</c:v>
                  </c:pt>
                </c:numCache>
              </c:numRef>
            </c:plus>
            <c:minus>
              <c:numRef>
                <c:f>'phase 1'!$L$2:$L$5</c:f>
                <c:numCache>
                  <c:formatCode>General</c:formatCode>
                  <c:ptCount val="4"/>
                  <c:pt idx="0">
                    <c:v>48.903432679354459</c:v>
                  </c:pt>
                  <c:pt idx="1">
                    <c:v>9.3891627110249143</c:v>
                  </c:pt>
                  <c:pt idx="2">
                    <c:v>42.52315271844499</c:v>
                  </c:pt>
                  <c:pt idx="3">
                    <c:v>17.66711107751734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'phase 1'!$A$2:$A$5</c:f>
              <c:strCache>
                <c:ptCount val="4"/>
                <c:pt idx="0">
                  <c:v>Cold 128MB</c:v>
                </c:pt>
                <c:pt idx="1">
                  <c:v>Warm 128MB</c:v>
                </c:pt>
                <c:pt idx="2">
                  <c:v>Cold 512MB </c:v>
                </c:pt>
                <c:pt idx="3">
                  <c:v>Warm 512MB </c:v>
                </c:pt>
              </c:strCache>
            </c:strRef>
          </c:cat>
          <c:val>
            <c:numRef>
              <c:f>'phase 1'!$H$2:$H$5</c:f>
              <c:numCache>
                <c:formatCode>General</c:formatCode>
                <c:ptCount val="4"/>
                <c:pt idx="0">
                  <c:v>338.41666666666669</c:v>
                </c:pt>
                <c:pt idx="1">
                  <c:v>93.948333333333338</c:v>
                </c:pt>
                <c:pt idx="2">
                  <c:v>363.27500000000003</c:v>
                </c:pt>
                <c:pt idx="3">
                  <c:v>92.57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1BC-4323-9C16-0D92B67D7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6625695"/>
        <c:axId val="396620415"/>
      </c:barChart>
      <c:catAx>
        <c:axId val="39662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20415"/>
        <c:crosses val="autoZero"/>
        <c:auto val="0"/>
        <c:lblAlgn val="ctr"/>
        <c:lblOffset val="100"/>
        <c:noMultiLvlLbl val="0"/>
      </c:catAx>
      <c:valAx>
        <c:axId val="3966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Response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25695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128MB: Cold vs Warm per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1644655236363"/>
          <c:y val="0.1011724618111233"/>
          <c:w val="0.71908182598857717"/>
          <c:h val="0.78380593095165207"/>
        </c:manualLayout>
      </c:layout>
      <c:scatterChart>
        <c:scatterStyle val="lineMarker"/>
        <c:varyColors val="0"/>
        <c:ser>
          <c:idx val="1"/>
          <c:order val="0"/>
          <c:tx>
            <c:v>Night</c:v>
          </c:tx>
          <c:spPr>
            <a:ln w="19050" cap="rnd">
              <a:solidFill>
                <a:schemeClr val="accent2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1'!$U$2:$U$3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'phase 1'!$P$2:$P$3</c:f>
              <c:numCache>
                <c:formatCode>General</c:formatCode>
                <c:ptCount val="2"/>
                <c:pt idx="0">
                  <c:v>101.99</c:v>
                </c:pt>
                <c:pt idx="1">
                  <c:v>395.72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0-4000-8F17-F7B78854FE2C}"/>
            </c:ext>
          </c:extLst>
        </c:ser>
        <c:ser>
          <c:idx val="0"/>
          <c:order val="1"/>
          <c:tx>
            <c:v>nightr2</c:v>
          </c:tx>
          <c:spPr>
            <a:ln w="19050" cap="rnd">
              <a:solidFill>
                <a:schemeClr val="accent2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1'!$U$4:$U$5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'phase 1'!$P$4:$P$5</c:f>
              <c:numCache>
                <c:formatCode>General</c:formatCode>
                <c:ptCount val="2"/>
                <c:pt idx="0">
                  <c:v>76.58</c:v>
                </c:pt>
                <c:pt idx="1">
                  <c:v>302.63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F0-4000-8F17-F7B78854FE2C}"/>
            </c:ext>
          </c:extLst>
        </c:ser>
        <c:ser>
          <c:idx val="2"/>
          <c:order val="2"/>
          <c:tx>
            <c:v>Noon</c:v>
          </c:tx>
          <c:spPr>
            <a:ln w="19050" cap="rnd">
              <a:solidFill>
                <a:srgbClr val="0070C0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1'!$U$6:$U$7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'phase 1'!$P$6:$P$7</c:f>
              <c:numCache>
                <c:formatCode>General</c:formatCode>
                <c:ptCount val="2"/>
                <c:pt idx="0">
                  <c:v>99.24</c:v>
                </c:pt>
                <c:pt idx="1">
                  <c:v>299.88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F0-4000-8F17-F7B78854FE2C}"/>
            </c:ext>
          </c:extLst>
        </c:ser>
        <c:ser>
          <c:idx val="3"/>
          <c:order val="3"/>
          <c:tx>
            <c:v>r4</c:v>
          </c:tx>
          <c:spPr>
            <a:ln w="19050" cap="rnd">
              <a:solidFill>
                <a:srgbClr val="0070C0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1'!$U$8:$U$9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'phase 1'!$P$8:$P$9</c:f>
              <c:numCache>
                <c:formatCode>General</c:formatCode>
                <c:ptCount val="2"/>
                <c:pt idx="0">
                  <c:v>94.94</c:v>
                </c:pt>
                <c:pt idx="1">
                  <c:v>399.52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F0-4000-8F17-F7B78854FE2C}"/>
            </c:ext>
          </c:extLst>
        </c:ser>
        <c:ser>
          <c:idx val="4"/>
          <c:order val="4"/>
          <c:tx>
            <c:v>Evening</c:v>
          </c:tx>
          <c:spPr>
            <a:ln w="19050" cap="rnd">
              <a:solidFill>
                <a:schemeClr val="accent5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1'!$U$10:$U$11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'phase 1'!$P$10:$P$11</c:f>
              <c:numCache>
                <c:formatCode>General</c:formatCode>
                <c:ptCount val="2"/>
                <c:pt idx="0">
                  <c:v>95.85</c:v>
                </c:pt>
                <c:pt idx="1">
                  <c:v>323.55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F0-4000-8F17-F7B78854FE2C}"/>
            </c:ext>
          </c:extLst>
        </c:ser>
        <c:ser>
          <c:idx val="5"/>
          <c:order val="5"/>
          <c:tx>
            <c:v>r6</c:v>
          </c:tx>
          <c:spPr>
            <a:ln w="19050" cap="rnd">
              <a:solidFill>
                <a:schemeClr val="accent5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1'!$U$12:$U$13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'phase 1'!$P$12:$P$13</c:f>
              <c:numCache>
                <c:formatCode>General</c:formatCode>
                <c:ptCount val="2"/>
                <c:pt idx="0">
                  <c:v>95.09</c:v>
                </c:pt>
                <c:pt idx="1">
                  <c:v>309.2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F0-4000-8F17-F7B78854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68239"/>
        <c:axId val="469770159"/>
      </c:scatterChart>
      <c:valAx>
        <c:axId val="46976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1]&quot;&quot;;[&gt;6]&quot;&quot;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70159"/>
        <c:crosses val="autoZero"/>
        <c:crossBetween val="midCat"/>
        <c:majorUnit val="1"/>
        <c:minorUnit val="1"/>
      </c:valAx>
      <c:valAx>
        <c:axId val="469770159"/>
        <c:scaling>
          <c:orientation val="minMax"/>
          <c:max val="42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68239"/>
        <c:crossesAt val="0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722371882570946"/>
          <c:y val="0.46739694987793734"/>
          <c:w val="0.15101646678341368"/>
          <c:h val="0.18010179952943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920" b="1" i="0" u="none" strike="noStrike" kern="1200" spc="0" baseline="0">
                <a:solidFill>
                  <a:sysClr val="windowText" lastClr="000000"/>
                </a:solidFill>
              </a:rPr>
              <a:t>512MB: Cold vs Warm per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1644655236363"/>
          <c:y val="0.1011724618111233"/>
          <c:w val="0.71908182598857717"/>
          <c:h val="0.78380593095165207"/>
        </c:manualLayout>
      </c:layout>
      <c:scatterChart>
        <c:scatterStyle val="lineMarker"/>
        <c:varyColors val="0"/>
        <c:ser>
          <c:idx val="1"/>
          <c:order val="0"/>
          <c:tx>
            <c:v>Night</c:v>
          </c:tx>
          <c:spPr>
            <a:ln w="19050" cap="rnd">
              <a:solidFill>
                <a:schemeClr val="accent2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1'!$U$2:$U$3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'phase 1'!$S$2:$S$3</c:f>
              <c:numCache>
                <c:formatCode>General</c:formatCode>
                <c:ptCount val="2"/>
                <c:pt idx="0">
                  <c:v>78.06</c:v>
                </c:pt>
                <c:pt idx="1">
                  <c:v>374.77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E-4CE9-A85F-E2DE1B4DF315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1'!$U$4:$U$5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'phase 1'!$S$4:$S$5</c:f>
              <c:numCache>
                <c:formatCode>General</c:formatCode>
                <c:ptCount val="2"/>
                <c:pt idx="0">
                  <c:v>70.02</c:v>
                </c:pt>
                <c:pt idx="1">
                  <c:v>350.05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E-4CE9-A85F-E2DE1B4DF315}"/>
            </c:ext>
          </c:extLst>
        </c:ser>
        <c:ser>
          <c:idx val="2"/>
          <c:order val="2"/>
          <c:tx>
            <c:v>Noon</c:v>
          </c:tx>
          <c:spPr>
            <a:ln w="19050" cap="rnd">
              <a:solidFill>
                <a:srgbClr val="0070C0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1'!$U$6:$U$7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'phase 1'!$S$6:$S$7</c:f>
              <c:numCache>
                <c:formatCode>General</c:formatCode>
                <c:ptCount val="2"/>
                <c:pt idx="0">
                  <c:v>114.59</c:v>
                </c:pt>
                <c:pt idx="1">
                  <c:v>337.17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7E-4CE9-A85F-E2DE1B4DF315}"/>
            </c:ext>
          </c:extLst>
        </c:ser>
        <c:ser>
          <c:idx val="3"/>
          <c:order val="3"/>
          <c:spPr>
            <a:ln w="19050" cap="rnd">
              <a:solidFill>
                <a:srgbClr val="0070C0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1'!$U$8:$U$9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'phase 1'!$S$8:$S$9</c:f>
              <c:numCache>
                <c:formatCode>General</c:formatCode>
                <c:ptCount val="2"/>
                <c:pt idx="0">
                  <c:v>99.13</c:v>
                </c:pt>
                <c:pt idx="1">
                  <c:v>439.07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7E-4CE9-A85F-E2DE1B4DF315}"/>
            </c:ext>
          </c:extLst>
        </c:ser>
        <c:ser>
          <c:idx val="4"/>
          <c:order val="4"/>
          <c:tx>
            <c:v>Evening</c:v>
          </c:tx>
          <c:spPr>
            <a:ln w="19050" cap="rnd">
              <a:solidFill>
                <a:schemeClr val="accent5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1'!$U$10:$U$11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'phase 1'!$S$10:$S$11</c:f>
              <c:numCache>
                <c:formatCode>General</c:formatCode>
                <c:ptCount val="2"/>
                <c:pt idx="0">
                  <c:v>105</c:v>
                </c:pt>
                <c:pt idx="1">
                  <c:v>326.52999999999997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7E-4CE9-A85F-E2DE1B4DF315}"/>
            </c:ext>
          </c:extLst>
        </c:ser>
        <c:ser>
          <c:idx val="5"/>
          <c:order val="5"/>
          <c:spPr>
            <a:ln w="19050" cap="rnd">
              <a:solidFill>
                <a:schemeClr val="accent5"/>
              </a:solidFill>
              <a:prstDash val="sysDash"/>
              <a:round/>
              <a:headEnd type="diamond"/>
              <a:tailEnd type="diamond"/>
            </a:ln>
            <a:effectLst/>
          </c:spPr>
          <c:marker>
            <c:symbol val="none"/>
          </c:marker>
          <c:xVal>
            <c:numRef>
              <c:f>'phase 1'!$U$12:$U$13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'phase 1'!$S$12:$S$13</c:f>
              <c:numCache>
                <c:formatCode>General</c:formatCode>
                <c:ptCount val="2"/>
                <c:pt idx="0">
                  <c:v>88.62</c:v>
                </c:pt>
                <c:pt idx="1">
                  <c:v>352.06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7E-4CE9-A85F-E2DE1B4D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68239"/>
        <c:axId val="469770159"/>
      </c:scatterChart>
      <c:valAx>
        <c:axId val="46976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1]&quot;&quot;;[&gt;6]&quot;&quot;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70159"/>
        <c:crosses val="autoZero"/>
        <c:crossBetween val="midCat"/>
        <c:majorUnit val="1"/>
        <c:minorUnit val="1"/>
      </c:valAx>
      <c:valAx>
        <c:axId val="469770159"/>
        <c:scaling>
          <c:orientation val="minMax"/>
          <c:max val="4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68239"/>
        <c:crossesAt val="0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722371882570946"/>
          <c:y val="0.46739694987793734"/>
          <c:w val="0.15101646678341368"/>
          <c:h val="0.20692211214194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Concurrency Scaling - Latency per Run</a:t>
            </a:r>
            <a:br>
              <a:rPr lang="en-CA" b="1"/>
            </a:br>
            <a:r>
              <a:rPr lang="en-CA" b="1"/>
              <a:t>(all concurrency levels</a:t>
            </a:r>
            <a:r>
              <a:rPr lang="en-CA" b="1" baseline="0"/>
              <a:t> 1 - 200 VUs)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8.9755770348541694E-2"/>
          <c:y val="0.16759678614183779"/>
          <c:w val="0.77719467760841032"/>
          <c:h val="0.65968024771610145"/>
        </c:manualLayout>
      </c:layout>
      <c:lineChart>
        <c:grouping val="standard"/>
        <c:varyColors val="0"/>
        <c:ser>
          <c:idx val="0"/>
          <c:order val="0"/>
          <c:tx>
            <c:strRef>
              <c:f>'phase 2'!$B$1</c:f>
              <c:strCache>
                <c:ptCount val="1"/>
                <c:pt idx="0">
                  <c:v>Avg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cat>
            <c:strRef>
              <c:f>'phase 2'!$A$2:$A$7</c:f>
              <c:strCache>
                <c:ptCount val="6"/>
                <c:pt idx="0">
                  <c:v>Run 1                                        (Night)</c:v>
                </c:pt>
                <c:pt idx="1">
                  <c:v>Run 2                                        (Night)</c:v>
                </c:pt>
                <c:pt idx="2">
                  <c:v>Run 3                                        (Noon)</c:v>
                </c:pt>
                <c:pt idx="3">
                  <c:v>Run 4                                        (Noon)</c:v>
                </c:pt>
                <c:pt idx="4">
                  <c:v>Run 5                                        (Evening)</c:v>
                </c:pt>
                <c:pt idx="5">
                  <c:v>Run 6                                        (Evening)</c:v>
                </c:pt>
              </c:strCache>
            </c:strRef>
          </c:cat>
          <c:val>
            <c:numRef>
              <c:f>'phase 2'!$B$2:$B$7</c:f>
              <c:numCache>
                <c:formatCode>General</c:formatCode>
                <c:ptCount val="6"/>
                <c:pt idx="0">
                  <c:v>73.37</c:v>
                </c:pt>
                <c:pt idx="1">
                  <c:v>73.52</c:v>
                </c:pt>
                <c:pt idx="2">
                  <c:v>73.84</c:v>
                </c:pt>
                <c:pt idx="3">
                  <c:v>73.87</c:v>
                </c:pt>
                <c:pt idx="4">
                  <c:v>73.58</c:v>
                </c:pt>
                <c:pt idx="5">
                  <c:v>73.92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A-4C12-9F6E-7227C5E7E4BD}"/>
            </c:ext>
          </c:extLst>
        </c:ser>
        <c:ser>
          <c:idx val="1"/>
          <c:order val="1"/>
          <c:tx>
            <c:strRef>
              <c:f>'phase 2'!$C$1</c:f>
              <c:strCache>
                <c:ptCount val="1"/>
                <c:pt idx="0">
                  <c:v>P50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'phase 2'!$A$2:$A$7</c:f>
              <c:strCache>
                <c:ptCount val="6"/>
                <c:pt idx="0">
                  <c:v>Run 1                                        (Night)</c:v>
                </c:pt>
                <c:pt idx="1">
                  <c:v>Run 2                                        (Night)</c:v>
                </c:pt>
                <c:pt idx="2">
                  <c:v>Run 3                                        (Noon)</c:v>
                </c:pt>
                <c:pt idx="3">
                  <c:v>Run 4                                        (Noon)</c:v>
                </c:pt>
                <c:pt idx="4">
                  <c:v>Run 5                                        (Evening)</c:v>
                </c:pt>
                <c:pt idx="5">
                  <c:v>Run 6                                        (Evening)</c:v>
                </c:pt>
              </c:strCache>
            </c:strRef>
          </c:cat>
          <c:val>
            <c:numRef>
              <c:f>'phase 2'!$C$2:$C$7</c:f>
              <c:numCache>
                <c:formatCode>General</c:formatCode>
                <c:ptCount val="6"/>
                <c:pt idx="0">
                  <c:v>72.400000000000006</c:v>
                </c:pt>
                <c:pt idx="1">
                  <c:v>73.14</c:v>
                </c:pt>
                <c:pt idx="2">
                  <c:v>71.989999999999995</c:v>
                </c:pt>
                <c:pt idx="3">
                  <c:v>72.150000000000006</c:v>
                </c:pt>
                <c:pt idx="4">
                  <c:v>72.069999999999993</c:v>
                </c:pt>
                <c:pt idx="5">
                  <c:v>73.11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A-4C12-9F6E-7227C5E7E4BD}"/>
            </c:ext>
          </c:extLst>
        </c:ser>
        <c:ser>
          <c:idx val="2"/>
          <c:order val="2"/>
          <c:tx>
            <c:strRef>
              <c:f>'phase 2'!$D$1</c:f>
              <c:strCache>
                <c:ptCount val="1"/>
                <c:pt idx="0">
                  <c:v>P95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'phase 2'!$A$2:$A$7</c:f>
              <c:strCache>
                <c:ptCount val="6"/>
                <c:pt idx="0">
                  <c:v>Run 1                                        (Night)</c:v>
                </c:pt>
                <c:pt idx="1">
                  <c:v>Run 2                                        (Night)</c:v>
                </c:pt>
                <c:pt idx="2">
                  <c:v>Run 3                                        (Noon)</c:v>
                </c:pt>
                <c:pt idx="3">
                  <c:v>Run 4                                        (Noon)</c:v>
                </c:pt>
                <c:pt idx="4">
                  <c:v>Run 5                                        (Evening)</c:v>
                </c:pt>
                <c:pt idx="5">
                  <c:v>Run 6                                        (Evening)</c:v>
                </c:pt>
              </c:strCache>
            </c:strRef>
          </c:cat>
          <c:val>
            <c:numRef>
              <c:f>'phase 2'!$D$2:$D$7</c:f>
              <c:numCache>
                <c:formatCode>General</c:formatCode>
                <c:ptCount val="6"/>
                <c:pt idx="0">
                  <c:v>81.650000000000006</c:v>
                </c:pt>
                <c:pt idx="1">
                  <c:v>81.63</c:v>
                </c:pt>
                <c:pt idx="2">
                  <c:v>82.25</c:v>
                </c:pt>
                <c:pt idx="3">
                  <c:v>82.3</c:v>
                </c:pt>
                <c:pt idx="4">
                  <c:v>82</c:v>
                </c:pt>
                <c:pt idx="5">
                  <c:v>82.38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A-4C12-9F6E-7227C5E7E4BD}"/>
            </c:ext>
          </c:extLst>
        </c:ser>
        <c:ser>
          <c:idx val="3"/>
          <c:order val="3"/>
          <c:tx>
            <c:strRef>
              <c:f>'phase 2'!$E$1</c:f>
              <c:strCache>
                <c:ptCount val="1"/>
                <c:pt idx="0">
                  <c:v>P99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'phase 2'!$A$2:$A$7</c:f>
              <c:strCache>
                <c:ptCount val="6"/>
                <c:pt idx="0">
                  <c:v>Run 1                                        (Night)</c:v>
                </c:pt>
                <c:pt idx="1">
                  <c:v>Run 2                                        (Night)</c:v>
                </c:pt>
                <c:pt idx="2">
                  <c:v>Run 3                                        (Noon)</c:v>
                </c:pt>
                <c:pt idx="3">
                  <c:v>Run 4                                        (Noon)</c:v>
                </c:pt>
                <c:pt idx="4">
                  <c:v>Run 5                                        (Evening)</c:v>
                </c:pt>
                <c:pt idx="5">
                  <c:v>Run 6                                        (Evening)</c:v>
                </c:pt>
              </c:strCache>
            </c:strRef>
          </c:cat>
          <c:val>
            <c:numRef>
              <c:f>'phase 2'!$E$2:$E$7</c:f>
              <c:numCache>
                <c:formatCode>General</c:formatCode>
                <c:ptCount val="6"/>
                <c:pt idx="0">
                  <c:v>86.07</c:v>
                </c:pt>
                <c:pt idx="1">
                  <c:v>86.87</c:v>
                </c:pt>
                <c:pt idx="2">
                  <c:v>89.49</c:v>
                </c:pt>
                <c:pt idx="3">
                  <c:v>89.17</c:v>
                </c:pt>
                <c:pt idx="4">
                  <c:v>87.9</c:v>
                </c:pt>
                <c:pt idx="5">
                  <c:v>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A-4C12-9F6E-7227C5E7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068607"/>
        <c:axId val="548070527"/>
      </c:lineChart>
      <c:catAx>
        <c:axId val="54806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/>
                  <a:t>Run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0527"/>
        <c:crosses val="autoZero"/>
        <c:auto val="1"/>
        <c:lblAlgn val="ctr"/>
        <c:lblOffset val="100"/>
        <c:noMultiLvlLbl val="0"/>
      </c:catAx>
      <c:valAx>
        <c:axId val="548070527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chemeClr val="tx1"/>
                    </a:solidFill>
                  </a:rPr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68607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Mean Latency by Time of Day</a:t>
            </a:r>
          </a:p>
          <a:p>
            <a:pPr>
              <a:defRPr/>
            </a:pPr>
            <a:r>
              <a:rPr lang="en-CA"/>
              <a:t>(error bars = 95% CI)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94-4750-8D42-CEBBDD704F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94-4750-8D42-CEBBDD704F67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94-4750-8D42-CEBBDD704F67}"/>
              </c:ext>
            </c:extLst>
          </c:dPt>
          <c:dLbls>
            <c:dLbl>
              <c:idx val="0"/>
              <c:layout>
                <c:manualLayout>
                  <c:x val="0"/>
                  <c:y val="-6.93962526023594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94-4750-8D42-CEBBDD704F67}"/>
                </c:ext>
              </c:extLst>
            </c:dLbl>
            <c:dLbl>
              <c:idx val="2"/>
              <c:layout>
                <c:manualLayout>
                  <c:x val="4.1666666666666664E-2"/>
                  <c:y val="4.62641684015729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94-4750-8D42-CEBBDD704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'phase 2'!$D$12:$D$14</c:f>
                <c:numCache>
                  <c:formatCode>General</c:formatCode>
                  <c:ptCount val="3"/>
                  <c:pt idx="0">
                    <c:v>0.95296535521304881</c:v>
                  </c:pt>
                  <c:pt idx="1">
                    <c:v>0.19059307104262779</c:v>
                  </c:pt>
                  <c:pt idx="2">
                    <c:v>2.1600548051497217</c:v>
                  </c:pt>
                </c:numCache>
              </c:numRef>
            </c:plus>
            <c:minus>
              <c:numRef>
                <c:f>'phase 2'!$D$12:$D$14</c:f>
                <c:numCache>
                  <c:formatCode>General</c:formatCode>
                  <c:ptCount val="3"/>
                  <c:pt idx="0">
                    <c:v>0.95296535521304881</c:v>
                  </c:pt>
                  <c:pt idx="1">
                    <c:v>0.19059307104262779</c:v>
                  </c:pt>
                  <c:pt idx="2">
                    <c:v>2.1600548051497217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'phase 2'!$A$12:$A$14</c:f>
              <c:strCache>
                <c:ptCount val="3"/>
                <c:pt idx="0">
                  <c:v>Night</c:v>
                </c:pt>
                <c:pt idx="1">
                  <c:v>Noon</c:v>
                </c:pt>
                <c:pt idx="2">
                  <c:v>Evening</c:v>
                </c:pt>
              </c:strCache>
            </c:strRef>
          </c:cat>
          <c:val>
            <c:numRef>
              <c:f>'phase 2'!$B$12:$B$14</c:f>
              <c:numCache>
                <c:formatCode>General</c:formatCode>
                <c:ptCount val="3"/>
                <c:pt idx="0">
                  <c:v>73.444999999999993</c:v>
                </c:pt>
                <c:pt idx="1">
                  <c:v>73.855000000000004</c:v>
                </c:pt>
                <c:pt idx="2">
                  <c:v>73.75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4-4750-8D42-CEBBDD704F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3895119"/>
        <c:axId val="383894639"/>
      </c:barChart>
      <c:catAx>
        <c:axId val="38389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94639"/>
        <c:crosses val="autoZero"/>
        <c:auto val="1"/>
        <c:lblAlgn val="ctr"/>
        <c:lblOffset val="100"/>
        <c:noMultiLvlLbl val="0"/>
      </c:catAx>
      <c:valAx>
        <c:axId val="3838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 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95119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Throughput Saturation - Latency vs Request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47340292870622E-2"/>
          <c:y val="0.12879890212929224"/>
          <c:w val="0.79962625146969746"/>
          <c:h val="0.69949359778498976"/>
        </c:manualLayout>
      </c:layout>
      <c:scatterChart>
        <c:scatterStyle val="lineMarker"/>
        <c:varyColors val="0"/>
        <c:ser>
          <c:idx val="1"/>
          <c:order val="0"/>
          <c:tx>
            <c:strRef>
              <c:f>'phase 3'!$B$1</c:f>
              <c:strCache>
                <c:ptCount val="1"/>
                <c:pt idx="0">
                  <c:v>Mean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'phase 3'!$A$2:$A$10</c:f>
              <c:numCache>
                <c:formatCode>General</c:formatCode>
                <c:ptCount val="9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  <c:pt idx="8">
                  <c:v>500</c:v>
                </c:pt>
              </c:numCache>
            </c:numRef>
          </c:xVal>
          <c:yVal>
            <c:numRef>
              <c:f>'phase 3'!$B$2:$B$10</c:f>
              <c:numCache>
                <c:formatCode>General</c:formatCode>
                <c:ptCount val="9"/>
                <c:pt idx="0">
                  <c:v>70.069999999999993</c:v>
                </c:pt>
                <c:pt idx="1">
                  <c:v>69.62</c:v>
                </c:pt>
                <c:pt idx="2">
                  <c:v>72.97</c:v>
                </c:pt>
                <c:pt idx="3">
                  <c:v>70.680000000000007</c:v>
                </c:pt>
                <c:pt idx="4">
                  <c:v>72.23</c:v>
                </c:pt>
                <c:pt idx="5">
                  <c:v>73.040000000000006</c:v>
                </c:pt>
                <c:pt idx="6">
                  <c:v>72.75</c:v>
                </c:pt>
                <c:pt idx="7">
                  <c:v>74.25</c:v>
                </c:pt>
                <c:pt idx="8">
                  <c:v>74.78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90-4E28-AF67-A8C6108A4510}"/>
            </c:ext>
          </c:extLst>
        </c:ser>
        <c:ser>
          <c:idx val="2"/>
          <c:order val="1"/>
          <c:tx>
            <c:strRef>
              <c:f>'phase 3'!$D$1</c:f>
              <c:strCache>
                <c:ptCount val="1"/>
                <c:pt idx="0">
                  <c:v>P95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'phase 3'!$A$2:$A$10</c:f>
              <c:numCache>
                <c:formatCode>General</c:formatCode>
                <c:ptCount val="9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  <c:pt idx="8">
                  <c:v>500</c:v>
                </c:pt>
              </c:numCache>
            </c:numRef>
          </c:xVal>
          <c:yVal>
            <c:numRef>
              <c:f>'phase 3'!$D$2:$D$10</c:f>
              <c:numCache>
                <c:formatCode>General</c:formatCode>
                <c:ptCount val="9"/>
                <c:pt idx="0">
                  <c:v>73.67</c:v>
                </c:pt>
                <c:pt idx="1">
                  <c:v>76.03</c:v>
                </c:pt>
                <c:pt idx="2">
                  <c:v>81.36</c:v>
                </c:pt>
                <c:pt idx="3">
                  <c:v>79.62</c:v>
                </c:pt>
                <c:pt idx="4">
                  <c:v>80.34</c:v>
                </c:pt>
                <c:pt idx="5">
                  <c:v>81.790000000000006</c:v>
                </c:pt>
                <c:pt idx="6">
                  <c:v>81.790000000000006</c:v>
                </c:pt>
                <c:pt idx="7">
                  <c:v>82.22</c:v>
                </c:pt>
                <c:pt idx="8">
                  <c:v>82.17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90-4E28-AF67-A8C6108A4510}"/>
            </c:ext>
          </c:extLst>
        </c:ser>
        <c:ser>
          <c:idx val="3"/>
          <c:order val="2"/>
          <c:tx>
            <c:strRef>
              <c:f>'phase 3'!$E$1</c:f>
              <c:strCache>
                <c:ptCount val="1"/>
                <c:pt idx="0">
                  <c:v>P99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'phase 3'!$A$2:$A$10</c:f>
              <c:numCache>
                <c:formatCode>General</c:formatCode>
                <c:ptCount val="9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300</c:v>
                </c:pt>
                <c:pt idx="8">
                  <c:v>500</c:v>
                </c:pt>
              </c:numCache>
            </c:numRef>
          </c:xVal>
          <c:yVal>
            <c:numRef>
              <c:f>'phase 3'!$E$2:$E$10</c:f>
              <c:numCache>
                <c:formatCode>General</c:formatCode>
                <c:ptCount val="9"/>
                <c:pt idx="0">
                  <c:v>82.28</c:v>
                </c:pt>
                <c:pt idx="1">
                  <c:v>79.900000000000006</c:v>
                </c:pt>
                <c:pt idx="2">
                  <c:v>84.1</c:v>
                </c:pt>
                <c:pt idx="3">
                  <c:v>86.22</c:v>
                </c:pt>
                <c:pt idx="4">
                  <c:v>84.37</c:v>
                </c:pt>
                <c:pt idx="5">
                  <c:v>88.14</c:v>
                </c:pt>
                <c:pt idx="6">
                  <c:v>95.69</c:v>
                </c:pt>
                <c:pt idx="7">
                  <c:v>99.48</c:v>
                </c:pt>
                <c:pt idx="8">
                  <c:v>97.62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90-4E28-AF67-A8C6108A4510}"/>
            </c:ext>
          </c:extLst>
        </c:ser>
        <c:ser>
          <c:idx val="0"/>
          <c:order val="3"/>
          <c:tx>
            <c:strRef>
              <c:f>'phase 3'!$A$13</c:f>
              <c:strCache>
                <c:ptCount val="1"/>
                <c:pt idx="0">
                  <c:v>Saturation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'phase 3'!$A$14:$A$15</c:f>
              <c:numCache>
                <c:formatCode>General</c:formatCode>
                <c:ptCount val="2"/>
                <c:pt idx="0">
                  <c:v>200</c:v>
                </c:pt>
                <c:pt idx="1">
                  <c:v>200</c:v>
                </c:pt>
              </c:numCache>
            </c:numRef>
          </c:xVal>
          <c:yVal>
            <c:numRef>
              <c:f>'phase 3'!$B$14:$B$15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90-4E28-AF67-A8C6108A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65615"/>
        <c:axId val="138265135"/>
      </c:scatterChart>
      <c:valAx>
        <c:axId val="138265615"/>
        <c:scaling>
          <c:orientation val="minMax"/>
          <c:max val="52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5135"/>
        <c:crosses val="autoZero"/>
        <c:crossBetween val="midCat"/>
      </c:valAx>
      <c:valAx>
        <c:axId val="138265135"/>
        <c:scaling>
          <c:orientation val="minMax"/>
          <c:max val="100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Latency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5615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453390</xdr:colOff>
      <xdr:row>9</xdr:row>
      <xdr:rowOff>161925</xdr:rowOff>
    </xdr:from>
    <xdr:to>
      <xdr:col>8</xdr:col>
      <xdr:colOff>224790</xdr:colOff>
      <xdr:row>28</xdr:row>
      <xdr:rowOff>81915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3BF081-5443-6482-9985-6DE45A39D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382532</xdr:colOff>
      <xdr:row>16</xdr:row>
      <xdr:rowOff>82990</xdr:rowOff>
    </xdr:from>
    <xdr:to>
      <xdr:col>19</xdr:col>
      <xdr:colOff>361950</xdr:colOff>
      <xdr:row>42</xdr:row>
      <xdr:rowOff>112871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6D3020-6E1B-8AE2-B65D-8202C45B7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501015</xdr:colOff>
      <xdr:row>16</xdr:row>
      <xdr:rowOff>83820</xdr:rowOff>
    </xdr:from>
    <xdr:to>
      <xdr:col>31</xdr:col>
      <xdr:colOff>179443</xdr:colOff>
      <xdr:row>42</xdr:row>
      <xdr:rowOff>117511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FA0712-471A-48C4-84A9-BB45E7984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37146</xdr:colOff>
      <xdr:row>18</xdr:row>
      <xdr:rowOff>60006</xdr:rowOff>
    </xdr:from>
    <xdr:to>
      <xdr:col>11</xdr:col>
      <xdr:colOff>114299</xdr:colOff>
      <xdr:row>34</xdr:row>
      <xdr:rowOff>154304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D825B-0391-C9CC-289F-0B63608D2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397192</xdr:colOff>
      <xdr:row>19</xdr:row>
      <xdr:rowOff>50482</xdr:rowOff>
    </xdr:from>
    <xdr:to>
      <xdr:col>19</xdr:col>
      <xdr:colOff>92392</xdr:colOff>
      <xdr:row>34</xdr:row>
      <xdr:rowOff>75247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910D00-82FE-B3CC-BFF7-8E13454B6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550545</xdr:colOff>
      <xdr:row>2</xdr:row>
      <xdr:rowOff>18097</xdr:rowOff>
    </xdr:from>
    <xdr:to>
      <xdr:col>22</xdr:col>
      <xdr:colOff>436245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09CC2-A774-6303-ED6F-BE25B5D9C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33C-6546-41F6-B56A-786F98DA2579}">
  <dimension ref="A1:U13"/>
  <sheetViews>
    <sheetView workbookViewId="0">
      <selection activeCell="L2" sqref="L2"/>
    </sheetView>
  </sheetViews>
  <sheetFormatPr defaultRowHeight="14.45"/>
  <cols>
    <col min="8" max="8" width="7.7109375" customWidth="1"/>
    <col min="15" max="15" width="11.140625" bestFit="1" customWidth="1"/>
    <col min="18" max="18" width="11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>
        <v>128</v>
      </c>
      <c r="O1" t="s">
        <v>12</v>
      </c>
      <c r="P1" t="s">
        <v>13</v>
      </c>
      <c r="Q1">
        <v>512</v>
      </c>
      <c r="R1" t="s">
        <v>12</v>
      </c>
      <c r="S1" t="s">
        <v>13</v>
      </c>
    </row>
    <row r="2" spans="1:21">
      <c r="A2" t="s">
        <v>14</v>
      </c>
      <c r="B2">
        <v>395.72</v>
      </c>
      <c r="C2">
        <v>302.63</v>
      </c>
      <c r="D2">
        <v>299.88</v>
      </c>
      <c r="E2">
        <v>399.52</v>
      </c>
      <c r="F2">
        <v>323.55</v>
      </c>
      <c r="G2">
        <v>309.2</v>
      </c>
      <c r="H2">
        <f>AVERAGE(B2:G2)</f>
        <v>338.41666666666669</v>
      </c>
      <c r="I2">
        <f>_xlfn.STDEV.S(B2:G2)</f>
        <v>46.599744491431174</v>
      </c>
      <c r="J2">
        <f>MIN(B2:G2)</f>
        <v>299.88</v>
      </c>
      <c r="K2">
        <f>MAX(B2:G2)</f>
        <v>399.52</v>
      </c>
      <c r="L2">
        <f>_xlfn.T.INV.2T(0.05,5)*I2/SQRT(6)</f>
        <v>48.903432679354459</v>
      </c>
      <c r="O2" t="s">
        <v>15</v>
      </c>
      <c r="P2">
        <v>101.99</v>
      </c>
      <c r="R2" t="s">
        <v>15</v>
      </c>
      <c r="S2">
        <v>78.06</v>
      </c>
      <c r="U2">
        <v>1</v>
      </c>
    </row>
    <row r="3" spans="1:21">
      <c r="A3" t="s">
        <v>16</v>
      </c>
      <c r="B3">
        <v>101.99</v>
      </c>
      <c r="C3">
        <v>76.58</v>
      </c>
      <c r="D3">
        <v>99.24</v>
      </c>
      <c r="E3">
        <v>94.94</v>
      </c>
      <c r="F3">
        <v>95.85</v>
      </c>
      <c r="G3">
        <v>95.09</v>
      </c>
      <c r="H3">
        <f t="shared" ref="H3:H5" si="0">AVERAGE(B3:G3)</f>
        <v>93.948333333333338</v>
      </c>
      <c r="I3">
        <f t="shared" ref="I3:I5" si="1">_xlfn.STDEV.S(B3:G3)</f>
        <v>8.9468685396996115</v>
      </c>
      <c r="J3">
        <f t="shared" ref="J3:J5" si="2">MIN(B3:G3)</f>
        <v>76.58</v>
      </c>
      <c r="K3">
        <f t="shared" ref="K3:K5" si="3">MAX(B3:G3)</f>
        <v>101.99</v>
      </c>
      <c r="L3">
        <f t="shared" ref="L3:L5" si="4">_xlfn.T.INV.2T(0.05,5)*I3/SQRT(6)</f>
        <v>9.3891627110249143</v>
      </c>
      <c r="O3" t="s">
        <v>15</v>
      </c>
      <c r="P3">
        <v>395.72</v>
      </c>
      <c r="R3" t="s">
        <v>15</v>
      </c>
      <c r="S3">
        <v>374.77</v>
      </c>
      <c r="U3">
        <v>1</v>
      </c>
    </row>
    <row r="4" spans="1:21">
      <c r="A4" t="s">
        <v>17</v>
      </c>
      <c r="B4">
        <v>374.77</v>
      </c>
      <c r="C4">
        <v>350.05</v>
      </c>
      <c r="D4">
        <v>337.17</v>
      </c>
      <c r="E4">
        <v>439.07</v>
      </c>
      <c r="F4">
        <v>326.52999999999997</v>
      </c>
      <c r="G4">
        <v>352.06</v>
      </c>
      <c r="H4">
        <f t="shared" si="0"/>
        <v>363.27500000000003</v>
      </c>
      <c r="I4">
        <f t="shared" si="1"/>
        <v>40.520019619935617</v>
      </c>
      <c r="J4">
        <f t="shared" si="2"/>
        <v>326.52999999999997</v>
      </c>
      <c r="K4">
        <f t="shared" si="3"/>
        <v>439.07</v>
      </c>
      <c r="L4">
        <f t="shared" si="4"/>
        <v>42.52315271844499</v>
      </c>
      <c r="O4" t="s">
        <v>18</v>
      </c>
      <c r="P4">
        <v>76.58</v>
      </c>
      <c r="R4" t="s">
        <v>18</v>
      </c>
      <c r="S4">
        <v>70.02</v>
      </c>
      <c r="U4">
        <v>2</v>
      </c>
    </row>
    <row r="5" spans="1:21">
      <c r="A5" t="s">
        <v>19</v>
      </c>
      <c r="B5">
        <v>78.06</v>
      </c>
      <c r="C5">
        <v>70.02</v>
      </c>
      <c r="D5">
        <v>114.59</v>
      </c>
      <c r="E5">
        <v>99.13</v>
      </c>
      <c r="F5">
        <v>105</v>
      </c>
      <c r="G5">
        <v>88.62</v>
      </c>
      <c r="H5">
        <f t="shared" si="0"/>
        <v>92.57</v>
      </c>
      <c r="I5">
        <f t="shared" si="1"/>
        <v>16.834868576855676</v>
      </c>
      <c r="J5">
        <f t="shared" si="2"/>
        <v>70.02</v>
      </c>
      <c r="K5">
        <f t="shared" si="3"/>
        <v>114.59</v>
      </c>
      <c r="L5">
        <f t="shared" si="4"/>
        <v>17.66711107751734</v>
      </c>
      <c r="O5" t="s">
        <v>18</v>
      </c>
      <c r="P5">
        <v>302.63</v>
      </c>
      <c r="R5" t="s">
        <v>18</v>
      </c>
      <c r="S5">
        <v>350.05</v>
      </c>
      <c r="U5">
        <v>2</v>
      </c>
    </row>
    <row r="6" spans="1:21">
      <c r="A6" t="s">
        <v>20</v>
      </c>
      <c r="B6" t="s">
        <v>21</v>
      </c>
      <c r="C6" t="s">
        <v>21</v>
      </c>
      <c r="D6" t="s">
        <v>22</v>
      </c>
      <c r="E6" t="s">
        <v>22</v>
      </c>
      <c r="F6" t="s">
        <v>23</v>
      </c>
      <c r="G6" t="s">
        <v>23</v>
      </c>
      <c r="O6" t="s">
        <v>24</v>
      </c>
      <c r="P6">
        <v>99.24</v>
      </c>
      <c r="R6" t="s">
        <v>24</v>
      </c>
      <c r="S6">
        <v>114.59</v>
      </c>
      <c r="U6">
        <v>3</v>
      </c>
    </row>
    <row r="7" spans="1:21">
      <c r="O7" t="s">
        <v>24</v>
      </c>
      <c r="P7">
        <v>299.88</v>
      </c>
      <c r="R7" t="s">
        <v>24</v>
      </c>
      <c r="S7">
        <v>337.17</v>
      </c>
      <c r="U7">
        <v>3</v>
      </c>
    </row>
    <row r="8" spans="1:21">
      <c r="O8" t="s">
        <v>25</v>
      </c>
      <c r="P8">
        <v>94.94</v>
      </c>
      <c r="R8" t="s">
        <v>25</v>
      </c>
      <c r="S8">
        <v>99.13</v>
      </c>
      <c r="U8">
        <v>4</v>
      </c>
    </row>
    <row r="9" spans="1:21">
      <c r="O9" t="s">
        <v>25</v>
      </c>
      <c r="P9">
        <v>399.52</v>
      </c>
      <c r="R9" t="s">
        <v>25</v>
      </c>
      <c r="S9">
        <v>439.07</v>
      </c>
      <c r="U9">
        <v>4</v>
      </c>
    </row>
    <row r="10" spans="1:21">
      <c r="O10" t="s">
        <v>26</v>
      </c>
      <c r="P10">
        <v>95.85</v>
      </c>
      <c r="R10" t="s">
        <v>26</v>
      </c>
      <c r="S10">
        <v>105</v>
      </c>
      <c r="U10">
        <v>5</v>
      </c>
    </row>
    <row r="11" spans="1:21">
      <c r="O11" t="s">
        <v>26</v>
      </c>
      <c r="P11">
        <v>323.55</v>
      </c>
      <c r="R11" t="s">
        <v>26</v>
      </c>
      <c r="S11">
        <v>326.52999999999997</v>
      </c>
      <c r="U11">
        <v>5</v>
      </c>
    </row>
    <row r="12" spans="1:21">
      <c r="O12" t="s">
        <v>27</v>
      </c>
      <c r="P12">
        <v>95.09</v>
      </c>
      <c r="R12" t="s">
        <v>27</v>
      </c>
      <c r="S12">
        <v>88.62</v>
      </c>
      <c r="U12">
        <v>6</v>
      </c>
    </row>
    <row r="13" spans="1:21">
      <c r="O13" t="s">
        <v>27</v>
      </c>
      <c r="P13">
        <v>309.2</v>
      </c>
      <c r="R13" t="s">
        <v>27</v>
      </c>
      <c r="S13">
        <v>352.06</v>
      </c>
      <c r="U13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4D9D-E0B5-42DD-914A-980200A7BC17}">
  <dimension ref="A1:G14"/>
  <sheetViews>
    <sheetView workbookViewId="0">
      <selection activeCell="D12" sqref="D12"/>
    </sheetView>
  </sheetViews>
  <sheetFormatPr defaultRowHeight="14.45"/>
  <cols>
    <col min="2" max="2" width="11.140625" bestFit="1" customWidth="1"/>
  </cols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20</v>
      </c>
    </row>
    <row r="2" spans="1:7">
      <c r="A2" t="s">
        <v>34</v>
      </c>
      <c r="B2">
        <v>73.37</v>
      </c>
      <c r="C2">
        <v>72.400000000000006</v>
      </c>
      <c r="D2">
        <v>81.650000000000006</v>
      </c>
      <c r="E2">
        <v>86.07</v>
      </c>
      <c r="F2">
        <v>6.85</v>
      </c>
      <c r="G2" t="s">
        <v>21</v>
      </c>
    </row>
    <row r="3" spans="1:7">
      <c r="A3" t="s">
        <v>35</v>
      </c>
      <c r="B3">
        <v>73.52</v>
      </c>
      <c r="C3">
        <v>73.14</v>
      </c>
      <c r="D3">
        <v>81.63</v>
      </c>
      <c r="E3">
        <v>86.87</v>
      </c>
      <c r="F3">
        <v>6.86</v>
      </c>
      <c r="G3" t="s">
        <v>21</v>
      </c>
    </row>
    <row r="4" spans="1:7">
      <c r="A4" t="s">
        <v>36</v>
      </c>
      <c r="B4">
        <v>73.84</v>
      </c>
      <c r="C4">
        <v>71.989999999999995</v>
      </c>
      <c r="D4">
        <v>82.25</v>
      </c>
      <c r="E4">
        <v>89.49</v>
      </c>
      <c r="F4">
        <v>6.55</v>
      </c>
      <c r="G4" t="s">
        <v>22</v>
      </c>
    </row>
    <row r="5" spans="1:7">
      <c r="A5" t="s">
        <v>37</v>
      </c>
      <c r="B5">
        <v>73.87</v>
      </c>
      <c r="C5">
        <v>72.150000000000006</v>
      </c>
      <c r="D5">
        <v>82.3</v>
      </c>
      <c r="E5">
        <v>89.17</v>
      </c>
      <c r="F5">
        <v>6.47</v>
      </c>
      <c r="G5" t="s">
        <v>22</v>
      </c>
    </row>
    <row r="6" spans="1:7">
      <c r="A6" t="s">
        <v>38</v>
      </c>
      <c r="B6">
        <v>73.58</v>
      </c>
      <c r="C6">
        <v>72.069999999999993</v>
      </c>
      <c r="D6">
        <v>82</v>
      </c>
      <c r="E6">
        <v>87.9</v>
      </c>
      <c r="F6">
        <v>6.92</v>
      </c>
      <c r="G6" t="s">
        <v>23</v>
      </c>
    </row>
    <row r="7" spans="1:7">
      <c r="A7" t="s">
        <v>39</v>
      </c>
      <c r="B7">
        <v>73.92</v>
      </c>
      <c r="C7">
        <v>73.11</v>
      </c>
      <c r="D7">
        <v>82.38</v>
      </c>
      <c r="E7">
        <v>89.99</v>
      </c>
      <c r="F7">
        <v>6.95</v>
      </c>
      <c r="G7" t="s">
        <v>23</v>
      </c>
    </row>
    <row r="8" spans="1:7">
      <c r="A8" t="s">
        <v>40</v>
      </c>
      <c r="B8">
        <f>AVERAGE(B2:B7)</f>
        <v>73.683333333333337</v>
      </c>
      <c r="C8">
        <f t="shared" ref="C8:D8" si="0">AVERAGE(C2:C7)</f>
        <v>72.476666666666674</v>
      </c>
      <c r="D8">
        <f t="shared" si="0"/>
        <v>82.034999999999997</v>
      </c>
      <c r="E8">
        <f t="shared" ref="E8" si="1">AVERAGE(E2:E7)</f>
        <v>88.248333333333335</v>
      </c>
      <c r="F8">
        <f t="shared" ref="F8" si="2">AVERAGE(F2:F7)</f>
        <v>6.7666666666666666</v>
      </c>
    </row>
    <row r="9" spans="1:7">
      <c r="A9" t="s">
        <v>41</v>
      </c>
      <c r="B9">
        <f>_xlfn.T.INV.2T(0.05,5)*_xlfn.STDEV.S(B2:B7)/SQRT(6)</f>
        <v>0.23509856857175515</v>
      </c>
    </row>
    <row r="11" spans="1:7">
      <c r="B11" t="s">
        <v>42</v>
      </c>
      <c r="C11" t="s">
        <v>33</v>
      </c>
      <c r="D11" t="s">
        <v>41</v>
      </c>
    </row>
    <row r="12" spans="1:7">
      <c r="A12" t="s">
        <v>21</v>
      </c>
      <c r="B12">
        <f>AVERAGE(B2:B3)</f>
        <v>73.444999999999993</v>
      </c>
      <c r="C12">
        <f>_xlfn.STDEV.S(B2:B3)</f>
        <v>0.1060660171779761</v>
      </c>
      <c r="D12">
        <f>_xlfn.T.INV.2T(0.05,1)*C12/SQRT(2)</f>
        <v>0.95296535521304881</v>
      </c>
    </row>
    <row r="13" spans="1:7">
      <c r="A13" t="s">
        <v>22</v>
      </c>
      <c r="B13">
        <f>AVERAGE(B4:B5)</f>
        <v>73.855000000000004</v>
      </c>
      <c r="C13">
        <f>_xlfn.STDEV.S(B4:B5)</f>
        <v>2.1213203435597228E-2</v>
      </c>
      <c r="D13">
        <f>_xlfn.T.INV.2T(0.05,1)*C13/SQRT(2)</f>
        <v>0.19059307104262779</v>
      </c>
    </row>
    <row r="14" spans="1:7">
      <c r="A14" t="s">
        <v>23</v>
      </c>
      <c r="B14">
        <f>AVERAGE(B6:B7)</f>
        <v>73.75</v>
      </c>
      <c r="C14">
        <f>_xlfn.STDEV.S(B6:B7)</f>
        <v>0.24041630560342858</v>
      </c>
      <c r="D14">
        <f>_xlfn.T.INV.2T(0.05,1)*C14/SQRT(2)</f>
        <v>2.1600548051497217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F8D8-F9D2-45D7-AA38-63884C274BCC}">
  <dimension ref="A1:Q31"/>
  <sheetViews>
    <sheetView topLeftCell="D1" workbookViewId="0">
      <selection activeCell="J1" sqref="J1:Q6"/>
    </sheetView>
  </sheetViews>
  <sheetFormatPr defaultRowHeight="14.45"/>
  <cols>
    <col min="11" max="15" width="9" bestFit="1" customWidth="1"/>
    <col min="16" max="16" width="7.28515625" bestFit="1" customWidth="1"/>
    <col min="17" max="17" width="9.5703125" bestFit="1" customWidth="1"/>
  </cols>
  <sheetData>
    <row r="1" spans="1:17">
      <c r="A1" t="s">
        <v>28</v>
      </c>
      <c r="B1" t="s">
        <v>43</v>
      </c>
      <c r="C1" t="s">
        <v>40</v>
      </c>
      <c r="D1" t="s">
        <v>30</v>
      </c>
      <c r="E1" t="s">
        <v>31</v>
      </c>
      <c r="F1" t="s">
        <v>44</v>
      </c>
      <c r="G1" t="s">
        <v>33</v>
      </c>
      <c r="H1" t="s">
        <v>45</v>
      </c>
      <c r="J1" t="s">
        <v>43</v>
      </c>
      <c r="K1" t="s">
        <v>7</v>
      </c>
      <c r="L1" t="s">
        <v>30</v>
      </c>
      <c r="M1" t="s">
        <v>31</v>
      </c>
      <c r="N1" t="s">
        <v>44</v>
      </c>
      <c r="O1" t="s">
        <v>33</v>
      </c>
      <c r="P1" t="s">
        <v>46</v>
      </c>
      <c r="Q1" t="s">
        <v>47</v>
      </c>
    </row>
    <row r="2" spans="1:17">
      <c r="A2">
        <v>1</v>
      </c>
      <c r="B2">
        <v>1</v>
      </c>
      <c r="C2">
        <v>70.153000000000006</v>
      </c>
      <c r="D2">
        <v>69.578999999999994</v>
      </c>
      <c r="E2">
        <v>75.004999999999995</v>
      </c>
      <c r="F2">
        <v>83.578000000000003</v>
      </c>
      <c r="G2">
        <v>3.1909999999999998</v>
      </c>
      <c r="H2">
        <v>782</v>
      </c>
      <c r="J2">
        <v>1</v>
      </c>
      <c r="K2" s="1">
        <f>AVERAGE(C2,C7,C12,C17,C22,C27)</f>
        <v>70.852500000000006</v>
      </c>
      <c r="L2" s="1">
        <f>AVERAGE(D2,D7,D12,D17,D22,D27)</f>
        <v>70.040666666666667</v>
      </c>
      <c r="M2" s="1">
        <f>AVERAGE(E2,E7,E12,E17,E22,E27)</f>
        <v>77.153666666666666</v>
      </c>
      <c r="N2" s="1">
        <f>AVERAGE(F2,F7,F12,F17,F22,F27)</f>
        <v>85.307666666666663</v>
      </c>
      <c r="O2" s="1">
        <f>AVERAGE(G2,G7,G12,G17,G22,G27)</f>
        <v>3.7121666666666666</v>
      </c>
      <c r="P2" s="1">
        <f>_xlfn.T.INV.2T(0.05,5)*_xlfn.STDEV.S(C2,C7,C12,C17,C22,C27)/SQRT(6)</f>
        <v>0.7949065231499941</v>
      </c>
      <c r="Q2" s="1">
        <f>SUM(H2,H7,H12,H17,H22,H27)</f>
        <v>4647</v>
      </c>
    </row>
    <row r="3" spans="1:17">
      <c r="A3">
        <v>1</v>
      </c>
      <c r="B3">
        <v>10</v>
      </c>
      <c r="C3">
        <v>70.870999999999995</v>
      </c>
      <c r="D3">
        <v>68.665999999999997</v>
      </c>
      <c r="E3">
        <v>80.224999999999994</v>
      </c>
      <c r="F3">
        <v>84.185000000000002</v>
      </c>
      <c r="G3">
        <v>5.024</v>
      </c>
      <c r="H3">
        <v>4205</v>
      </c>
      <c r="J3">
        <v>10</v>
      </c>
      <c r="K3" s="1">
        <f t="shared" ref="K3:K6" si="0">AVERAGE(C3,C8,C13,C18,C23,C28)</f>
        <v>71.253499999999988</v>
      </c>
      <c r="L3" s="1">
        <f t="shared" ref="L3:L6" si="1">AVERAGE(D3,D8,D13,D18,D23,D28)</f>
        <v>69.236000000000004</v>
      </c>
      <c r="M3" s="1">
        <f t="shared" ref="M3:M6" si="2">AVERAGE(E3,E8,E13,E18,E23,E28)</f>
        <v>80.435333333333332</v>
      </c>
      <c r="N3" s="1">
        <f t="shared" ref="N3:N6" si="3">AVERAGE(F3,F8,F13,F18,F23,F28)</f>
        <v>86.754000000000005</v>
      </c>
      <c r="O3" s="1">
        <f t="shared" ref="O3:O6" si="4">AVERAGE(G3,G8,G13,G18,G23,G28)</f>
        <v>5.2779999999999996</v>
      </c>
      <c r="P3" s="1">
        <f t="shared" ref="P3:P6" si="5">_xlfn.T.INV.2T(0.05,5)*_xlfn.STDEV.S(C3,C8,C13,C18,C23,C28)/SQRT(6)</f>
        <v>0.54798259328456211</v>
      </c>
      <c r="Q3" s="1">
        <f t="shared" ref="Q3:Q6" si="6">SUM(H3,H8,H13,H18,H23,H28)</f>
        <v>25153</v>
      </c>
    </row>
    <row r="4" spans="1:17">
      <c r="A4">
        <v>1</v>
      </c>
      <c r="B4">
        <v>50</v>
      </c>
      <c r="C4">
        <v>72.361000000000004</v>
      </c>
      <c r="D4">
        <v>69.185000000000002</v>
      </c>
      <c r="E4">
        <v>81.355000000000004</v>
      </c>
      <c r="F4">
        <v>85.781000000000006</v>
      </c>
      <c r="G4">
        <v>6.6079999999999997</v>
      </c>
      <c r="H4">
        <v>23864</v>
      </c>
      <c r="J4">
        <v>50</v>
      </c>
      <c r="K4" s="1">
        <f t="shared" si="0"/>
        <v>72.863166666666658</v>
      </c>
      <c r="L4" s="1">
        <f t="shared" si="1"/>
        <v>70.213666666666654</v>
      </c>
      <c r="M4" s="1">
        <f t="shared" si="2"/>
        <v>81.62166666666667</v>
      </c>
      <c r="N4" s="1">
        <f t="shared" si="3"/>
        <v>87.825333333333333</v>
      </c>
      <c r="O4" s="1">
        <f t="shared" si="4"/>
        <v>6.5311666666666666</v>
      </c>
      <c r="P4" s="1">
        <f t="shared" si="5"/>
        <v>0.48450042787042541</v>
      </c>
      <c r="Q4" s="1">
        <f t="shared" si="6"/>
        <v>142367</v>
      </c>
    </row>
    <row r="5" spans="1:17">
      <c r="A5">
        <v>1</v>
      </c>
      <c r="B5">
        <v>100</v>
      </c>
      <c r="C5">
        <v>73.134</v>
      </c>
      <c r="D5">
        <v>71.582999999999998</v>
      </c>
      <c r="E5">
        <v>81.561999999999998</v>
      </c>
      <c r="F5">
        <v>86.185000000000002</v>
      </c>
      <c r="G5">
        <v>6.7830000000000004</v>
      </c>
      <c r="H5">
        <v>57776</v>
      </c>
      <c r="J5">
        <v>100</v>
      </c>
      <c r="K5" s="1">
        <f t="shared" si="0"/>
        <v>73.478666666666655</v>
      </c>
      <c r="L5" s="1">
        <f t="shared" si="1"/>
        <v>71.932166666666674</v>
      </c>
      <c r="M5" s="1">
        <f t="shared" si="2"/>
        <v>81.923500000000004</v>
      </c>
      <c r="N5" s="1">
        <f t="shared" si="3"/>
        <v>87.830499999999986</v>
      </c>
      <c r="O5" s="1">
        <f t="shared" si="4"/>
        <v>6.6941666666666677</v>
      </c>
      <c r="P5" s="1">
        <f t="shared" si="5"/>
        <v>0.29018796257356105</v>
      </c>
      <c r="Q5" s="1">
        <f t="shared" si="6"/>
        <v>345260</v>
      </c>
    </row>
    <row r="6" spans="1:17">
      <c r="A6">
        <v>1</v>
      </c>
      <c r="B6">
        <v>200</v>
      </c>
      <c r="C6">
        <v>73.724999999999994</v>
      </c>
      <c r="D6">
        <v>74.265000000000001</v>
      </c>
      <c r="E6">
        <v>81.718000000000004</v>
      </c>
      <c r="F6">
        <v>85.852999999999994</v>
      </c>
      <c r="G6">
        <v>6.95</v>
      </c>
      <c r="H6">
        <v>115027</v>
      </c>
      <c r="J6">
        <v>200</v>
      </c>
      <c r="K6" s="1">
        <f t="shared" si="0"/>
        <v>73.998833333333323</v>
      </c>
      <c r="L6" s="1">
        <f t="shared" si="1"/>
        <v>73.897000000000006</v>
      </c>
      <c r="M6" s="1">
        <f t="shared" si="2"/>
        <v>82.140499999999989</v>
      </c>
      <c r="N6" s="1">
        <f t="shared" si="3"/>
        <v>88.413666666666657</v>
      </c>
      <c r="O6" s="1">
        <f t="shared" si="4"/>
        <v>6.8363333333333332</v>
      </c>
      <c r="P6" s="1">
        <f t="shared" si="5"/>
        <v>0.19679133598580711</v>
      </c>
      <c r="Q6" s="1">
        <f t="shared" si="6"/>
        <v>687938</v>
      </c>
    </row>
    <row r="7" spans="1:17">
      <c r="A7">
        <v>2</v>
      </c>
      <c r="B7">
        <v>1</v>
      </c>
      <c r="C7">
        <v>70.921999999999997</v>
      </c>
      <c r="D7">
        <v>70.105000000000004</v>
      </c>
      <c r="E7">
        <v>76.805999999999997</v>
      </c>
      <c r="F7">
        <v>84.903000000000006</v>
      </c>
      <c r="G7">
        <v>3.2639999999999998</v>
      </c>
      <c r="H7">
        <v>774</v>
      </c>
    </row>
    <row r="8" spans="1:17">
      <c r="A8">
        <v>2</v>
      </c>
      <c r="B8">
        <v>10</v>
      </c>
      <c r="C8">
        <v>71.177999999999997</v>
      </c>
      <c r="D8">
        <v>68.86</v>
      </c>
      <c r="E8">
        <v>80.462000000000003</v>
      </c>
      <c r="F8">
        <v>84.417000000000002</v>
      </c>
      <c r="G8">
        <v>5.7949999999999999</v>
      </c>
      <c r="H8">
        <v>4162</v>
      </c>
    </row>
    <row r="9" spans="1:17">
      <c r="A9">
        <v>2</v>
      </c>
      <c r="B9">
        <v>50</v>
      </c>
      <c r="C9">
        <v>72.623999999999995</v>
      </c>
      <c r="D9">
        <v>69.897999999999996</v>
      </c>
      <c r="E9">
        <v>81.218000000000004</v>
      </c>
      <c r="F9">
        <v>85.394999999999996</v>
      </c>
      <c r="G9">
        <v>6.9930000000000003</v>
      </c>
      <c r="H9">
        <v>23664</v>
      </c>
    </row>
    <row r="10" spans="1:17">
      <c r="A10">
        <v>2</v>
      </c>
      <c r="B10">
        <v>100</v>
      </c>
      <c r="C10">
        <v>73.414000000000001</v>
      </c>
      <c r="D10">
        <v>72.86</v>
      </c>
      <c r="E10">
        <v>81.576999999999998</v>
      </c>
      <c r="F10">
        <v>86.02</v>
      </c>
      <c r="G10">
        <v>6.742</v>
      </c>
      <c r="H10">
        <v>57417</v>
      </c>
    </row>
    <row r="11" spans="1:17">
      <c r="A11">
        <v>2</v>
      </c>
      <c r="B11">
        <v>200</v>
      </c>
      <c r="C11">
        <v>73.808999999999997</v>
      </c>
      <c r="D11">
        <v>74.582999999999998</v>
      </c>
      <c r="E11">
        <v>81.77</v>
      </c>
      <c r="F11">
        <v>87.978999999999999</v>
      </c>
      <c r="G11">
        <v>6.9189999999999996</v>
      </c>
      <c r="H11">
        <v>114610</v>
      </c>
    </row>
    <row r="12" spans="1:17">
      <c r="A12">
        <v>3</v>
      </c>
      <c r="B12">
        <v>1</v>
      </c>
      <c r="C12">
        <v>71.727000000000004</v>
      </c>
      <c r="D12">
        <v>71.046000000000006</v>
      </c>
      <c r="E12">
        <v>78.304000000000002</v>
      </c>
      <c r="F12">
        <v>88.39</v>
      </c>
      <c r="G12">
        <v>3.7160000000000002</v>
      </c>
      <c r="H12">
        <v>765</v>
      </c>
    </row>
    <row r="13" spans="1:17">
      <c r="A13">
        <v>3</v>
      </c>
      <c r="B13">
        <v>10</v>
      </c>
      <c r="C13">
        <v>71.805999999999997</v>
      </c>
      <c r="D13">
        <v>69.930999999999997</v>
      </c>
      <c r="E13">
        <v>80.766000000000005</v>
      </c>
      <c r="F13">
        <v>89.372</v>
      </c>
      <c r="G13">
        <v>5.3680000000000003</v>
      </c>
      <c r="H13">
        <v>4188</v>
      </c>
    </row>
    <row r="14" spans="1:17">
      <c r="A14">
        <v>3</v>
      </c>
      <c r="B14">
        <v>50</v>
      </c>
      <c r="C14">
        <v>73.289000000000001</v>
      </c>
      <c r="D14">
        <v>71.025999999999996</v>
      </c>
      <c r="E14">
        <v>81.879000000000005</v>
      </c>
      <c r="F14">
        <v>89.5</v>
      </c>
      <c r="G14">
        <v>6.4829999999999997</v>
      </c>
      <c r="H14">
        <v>23701</v>
      </c>
    </row>
    <row r="15" spans="1:17">
      <c r="A15">
        <v>3</v>
      </c>
      <c r="B15">
        <v>100</v>
      </c>
      <c r="C15">
        <v>73.58</v>
      </c>
      <c r="D15">
        <v>71.364999999999995</v>
      </c>
      <c r="E15">
        <v>82.221000000000004</v>
      </c>
      <c r="F15">
        <v>88.989000000000004</v>
      </c>
      <c r="G15">
        <v>6.3959999999999999</v>
      </c>
      <c r="H15">
        <v>57602</v>
      </c>
    </row>
    <row r="16" spans="1:17">
      <c r="A16">
        <v>3</v>
      </c>
      <c r="B16">
        <v>200</v>
      </c>
      <c r="C16">
        <v>74.159000000000006</v>
      </c>
      <c r="D16">
        <v>72.975999999999999</v>
      </c>
      <c r="E16">
        <v>82.415999999999997</v>
      </c>
      <c r="F16">
        <v>89.98</v>
      </c>
      <c r="G16">
        <v>6.6440000000000001</v>
      </c>
      <c r="H16">
        <v>114665</v>
      </c>
    </row>
    <row r="17" spans="1:8">
      <c r="A17">
        <v>4</v>
      </c>
      <c r="B17">
        <v>1</v>
      </c>
      <c r="C17">
        <v>71.680999999999997</v>
      </c>
      <c r="D17">
        <v>70.849000000000004</v>
      </c>
      <c r="E17">
        <v>78.131</v>
      </c>
      <c r="F17">
        <v>84.936999999999998</v>
      </c>
      <c r="G17">
        <v>3.9159999999999999</v>
      </c>
      <c r="H17">
        <v>765</v>
      </c>
    </row>
    <row r="18" spans="1:8">
      <c r="A18">
        <v>4</v>
      </c>
      <c r="B18">
        <v>10</v>
      </c>
      <c r="C18">
        <v>71.516999999999996</v>
      </c>
      <c r="D18">
        <v>69.783000000000001</v>
      </c>
      <c r="E18">
        <v>80.341999999999999</v>
      </c>
      <c r="F18">
        <v>88.304000000000002</v>
      </c>
      <c r="G18">
        <v>4.843</v>
      </c>
      <c r="H18">
        <v>4174</v>
      </c>
    </row>
    <row r="19" spans="1:8">
      <c r="A19">
        <v>4</v>
      </c>
      <c r="B19">
        <v>50</v>
      </c>
      <c r="C19">
        <v>73.228999999999999</v>
      </c>
      <c r="D19">
        <v>71.012</v>
      </c>
      <c r="E19">
        <v>81.879000000000005</v>
      </c>
      <c r="F19">
        <v>89.155000000000001</v>
      </c>
      <c r="G19">
        <v>6.04</v>
      </c>
      <c r="H19">
        <v>23600</v>
      </c>
    </row>
    <row r="20" spans="1:8">
      <c r="A20">
        <v>4</v>
      </c>
      <c r="B20">
        <v>100</v>
      </c>
      <c r="C20">
        <v>73.555999999999997</v>
      </c>
      <c r="D20">
        <v>71.539000000000001</v>
      </c>
      <c r="E20">
        <v>82.034000000000006</v>
      </c>
      <c r="F20">
        <v>88.838999999999999</v>
      </c>
      <c r="G20">
        <v>6.42</v>
      </c>
      <c r="H20">
        <v>57468</v>
      </c>
    </row>
    <row r="21" spans="1:8">
      <c r="A21">
        <v>4</v>
      </c>
      <c r="B21">
        <v>200</v>
      </c>
      <c r="C21">
        <v>74.108999999999995</v>
      </c>
      <c r="D21">
        <v>73.055999999999997</v>
      </c>
      <c r="E21">
        <v>82.308999999999997</v>
      </c>
      <c r="F21">
        <v>88.263999999999996</v>
      </c>
      <c r="G21">
        <v>6.5030000000000001</v>
      </c>
      <c r="H21">
        <v>114458</v>
      </c>
    </row>
    <row r="22" spans="1:8">
      <c r="A22">
        <v>5</v>
      </c>
      <c r="B22">
        <v>1</v>
      </c>
      <c r="C22">
        <v>69.899000000000001</v>
      </c>
      <c r="D22">
        <v>68.911000000000001</v>
      </c>
      <c r="E22">
        <v>77.457999999999998</v>
      </c>
      <c r="F22">
        <v>85.653000000000006</v>
      </c>
      <c r="G22">
        <v>3.6309999999999998</v>
      </c>
      <c r="H22">
        <v>785</v>
      </c>
    </row>
    <row r="23" spans="1:8">
      <c r="A23">
        <v>5</v>
      </c>
      <c r="B23">
        <v>10</v>
      </c>
      <c r="C23">
        <v>70.453000000000003</v>
      </c>
      <c r="D23">
        <v>68.555999999999997</v>
      </c>
      <c r="E23">
        <v>79.852999999999994</v>
      </c>
      <c r="F23">
        <v>82.948999999999998</v>
      </c>
      <c r="G23">
        <v>4.819</v>
      </c>
      <c r="H23">
        <v>4287</v>
      </c>
    </row>
    <row r="24" spans="1:8">
      <c r="A24">
        <v>5</v>
      </c>
      <c r="B24">
        <v>50</v>
      </c>
      <c r="C24">
        <v>72.369</v>
      </c>
      <c r="D24">
        <v>69.337999999999994</v>
      </c>
      <c r="E24">
        <v>81.352999999999994</v>
      </c>
      <c r="F24">
        <v>85.798000000000002</v>
      </c>
      <c r="G24">
        <v>6.1479999999999997</v>
      </c>
      <c r="H24">
        <v>24073</v>
      </c>
    </row>
    <row r="25" spans="1:8">
      <c r="A25">
        <v>5</v>
      </c>
      <c r="B25">
        <v>100</v>
      </c>
      <c r="C25">
        <v>73.265000000000001</v>
      </c>
      <c r="D25">
        <v>70.974999999999994</v>
      </c>
      <c r="E25">
        <v>81.813000000000002</v>
      </c>
      <c r="F25">
        <v>87.001000000000005</v>
      </c>
      <c r="G25">
        <v>6.9009999999999998</v>
      </c>
      <c r="H25">
        <v>57941</v>
      </c>
    </row>
    <row r="26" spans="1:8">
      <c r="A26">
        <v>5</v>
      </c>
      <c r="B26">
        <v>200</v>
      </c>
      <c r="C26">
        <v>74.031000000000006</v>
      </c>
      <c r="D26">
        <v>74.212000000000003</v>
      </c>
      <c r="E26">
        <v>82.122</v>
      </c>
      <c r="F26">
        <v>88.082999999999998</v>
      </c>
      <c r="G26">
        <v>6.9470000000000001</v>
      </c>
      <c r="H26">
        <v>115035</v>
      </c>
    </row>
    <row r="27" spans="1:8">
      <c r="A27">
        <v>6</v>
      </c>
      <c r="B27">
        <v>1</v>
      </c>
      <c r="C27">
        <v>70.733000000000004</v>
      </c>
      <c r="D27">
        <v>69.754000000000005</v>
      </c>
      <c r="E27">
        <v>77.218000000000004</v>
      </c>
      <c r="F27">
        <v>84.385000000000005</v>
      </c>
      <c r="G27">
        <v>4.5549999999999997</v>
      </c>
      <c r="H27">
        <v>776</v>
      </c>
    </row>
    <row r="28" spans="1:8">
      <c r="A28">
        <v>6</v>
      </c>
      <c r="B28">
        <v>10</v>
      </c>
      <c r="C28">
        <v>71.695999999999998</v>
      </c>
      <c r="D28">
        <v>69.62</v>
      </c>
      <c r="E28">
        <v>80.963999999999999</v>
      </c>
      <c r="F28">
        <v>91.296999999999997</v>
      </c>
      <c r="G28">
        <v>5.819</v>
      </c>
      <c r="H28">
        <v>4137</v>
      </c>
    </row>
    <row r="29" spans="1:8">
      <c r="A29">
        <v>6</v>
      </c>
      <c r="B29">
        <v>50</v>
      </c>
      <c r="C29">
        <v>73.307000000000002</v>
      </c>
      <c r="D29">
        <v>70.822999999999993</v>
      </c>
      <c r="E29">
        <v>82.046000000000006</v>
      </c>
      <c r="F29">
        <v>91.322999999999993</v>
      </c>
      <c r="G29">
        <v>6.915</v>
      </c>
      <c r="H29">
        <v>23465</v>
      </c>
    </row>
    <row r="30" spans="1:8">
      <c r="A30">
        <v>6</v>
      </c>
      <c r="B30">
        <v>100</v>
      </c>
      <c r="C30">
        <v>73.923000000000002</v>
      </c>
      <c r="D30">
        <v>73.271000000000001</v>
      </c>
      <c r="E30">
        <v>82.334000000000003</v>
      </c>
      <c r="F30">
        <v>89.948999999999998</v>
      </c>
      <c r="G30">
        <v>6.923</v>
      </c>
      <c r="H30">
        <v>57056</v>
      </c>
    </row>
    <row r="31" spans="1:8">
      <c r="A31">
        <v>6</v>
      </c>
      <c r="B31">
        <v>200</v>
      </c>
      <c r="C31">
        <v>74.16</v>
      </c>
      <c r="D31">
        <v>74.290000000000006</v>
      </c>
      <c r="E31">
        <v>82.507999999999996</v>
      </c>
      <c r="F31">
        <v>90.322999999999993</v>
      </c>
      <c r="G31">
        <v>7.0549999999999997</v>
      </c>
      <c r="H31">
        <v>114143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06A0-DDEA-4C68-B5D6-D3A8D9D95285}">
  <dimension ref="A1:G15"/>
  <sheetViews>
    <sheetView tabSelected="1" workbookViewId="0">
      <selection activeCell="D37" sqref="D37"/>
    </sheetView>
  </sheetViews>
  <sheetFormatPr defaultRowHeight="14.45"/>
  <sheetData>
    <row r="1" spans="1:7">
      <c r="A1" t="s">
        <v>48</v>
      </c>
      <c r="B1" t="s">
        <v>49</v>
      </c>
      <c r="C1" t="s">
        <v>50</v>
      </c>
      <c r="D1" t="s">
        <v>51</v>
      </c>
      <c r="E1" t="s">
        <v>32</v>
      </c>
      <c r="F1" t="s">
        <v>33</v>
      </c>
      <c r="G1" t="s">
        <v>52</v>
      </c>
    </row>
    <row r="2" spans="1:7">
      <c r="A2">
        <v>10</v>
      </c>
      <c r="B2">
        <v>70.069999999999993</v>
      </c>
      <c r="C2">
        <v>69.64</v>
      </c>
      <c r="D2">
        <v>73.67</v>
      </c>
      <c r="E2">
        <v>82.28</v>
      </c>
      <c r="F2">
        <v>3.91</v>
      </c>
      <c r="G2">
        <v>600</v>
      </c>
    </row>
    <row r="3" spans="1:7">
      <c r="A3">
        <v>25</v>
      </c>
      <c r="B3">
        <v>69.62</v>
      </c>
      <c r="C3">
        <v>68.760000000000005</v>
      </c>
      <c r="D3">
        <v>76.03</v>
      </c>
      <c r="E3">
        <v>79.900000000000006</v>
      </c>
      <c r="F3">
        <v>3.79</v>
      </c>
      <c r="G3">
        <v>1501</v>
      </c>
    </row>
    <row r="4" spans="1:7">
      <c r="A4">
        <v>50</v>
      </c>
      <c r="B4">
        <v>72.97</v>
      </c>
      <c r="C4">
        <v>71.03</v>
      </c>
      <c r="D4">
        <v>81.36</v>
      </c>
      <c r="E4">
        <v>84.1</v>
      </c>
      <c r="F4">
        <v>5.89</v>
      </c>
      <c r="G4">
        <v>3001</v>
      </c>
    </row>
    <row r="5" spans="1:7">
      <c r="A5">
        <v>75</v>
      </c>
      <c r="B5">
        <v>70.680000000000007</v>
      </c>
      <c r="C5">
        <v>68.94</v>
      </c>
      <c r="D5">
        <v>79.62</v>
      </c>
      <c r="E5">
        <v>86.22</v>
      </c>
      <c r="F5">
        <v>4.91</v>
      </c>
      <c r="G5">
        <v>4500</v>
      </c>
    </row>
    <row r="6" spans="1:7">
      <c r="A6">
        <v>100</v>
      </c>
      <c r="B6">
        <v>72.23</v>
      </c>
      <c r="C6">
        <v>69.709999999999994</v>
      </c>
      <c r="D6">
        <v>80.34</v>
      </c>
      <c r="E6">
        <v>84.37</v>
      </c>
      <c r="F6">
        <v>5.53</v>
      </c>
      <c r="G6">
        <v>6001</v>
      </c>
    </row>
    <row r="7" spans="1:7">
      <c r="A7">
        <v>150</v>
      </c>
      <c r="B7">
        <v>73.040000000000006</v>
      </c>
      <c r="C7">
        <v>71.599999999999994</v>
      </c>
      <c r="D7">
        <v>81.790000000000006</v>
      </c>
      <c r="E7">
        <v>88.14</v>
      </c>
      <c r="F7">
        <v>6</v>
      </c>
      <c r="G7">
        <v>9000</v>
      </c>
    </row>
    <row r="8" spans="1:7">
      <c r="A8">
        <v>200</v>
      </c>
      <c r="B8">
        <v>72.75</v>
      </c>
      <c r="C8">
        <v>69.47</v>
      </c>
      <c r="D8">
        <v>81.790000000000006</v>
      </c>
      <c r="E8">
        <v>95.69</v>
      </c>
      <c r="F8">
        <v>12.57</v>
      </c>
      <c r="G8">
        <v>11981</v>
      </c>
    </row>
    <row r="9" spans="1:7">
      <c r="A9">
        <v>300</v>
      </c>
      <c r="B9">
        <v>74.25</v>
      </c>
      <c r="C9">
        <v>71.98</v>
      </c>
      <c r="D9">
        <v>82.22</v>
      </c>
      <c r="E9">
        <v>99.48</v>
      </c>
      <c r="F9">
        <v>15.31</v>
      </c>
      <c r="G9">
        <v>17939</v>
      </c>
    </row>
    <row r="10" spans="1:7">
      <c r="A10">
        <v>500</v>
      </c>
      <c r="B10">
        <v>74.78</v>
      </c>
      <c r="C10">
        <v>74.87</v>
      </c>
      <c r="D10">
        <v>82.17</v>
      </c>
      <c r="E10">
        <v>97.62</v>
      </c>
      <c r="F10">
        <v>11.93</v>
      </c>
      <c r="G10">
        <v>29866</v>
      </c>
    </row>
    <row r="13" spans="1:7">
      <c r="A13" t="s">
        <v>53</v>
      </c>
    </row>
    <row r="14" spans="1:7">
      <c r="A14">
        <v>200</v>
      </c>
      <c r="B14">
        <v>0</v>
      </c>
    </row>
    <row r="15" spans="1:7">
      <c r="A15">
        <v>200</v>
      </c>
      <c r="B15">
        <v>200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Elmahdy</dc:creator>
  <cp:keywords/>
  <dc:description/>
  <cp:lastModifiedBy/>
  <cp:revision/>
  <dcterms:created xsi:type="dcterms:W3CDTF">2026-03-13T09:26:45Z</dcterms:created>
  <dcterms:modified xsi:type="dcterms:W3CDTF">2026-04-22T04:50:07Z</dcterms:modified>
  <cp:category/>
  <cp:contentStatus/>
</cp:coreProperties>
</file>